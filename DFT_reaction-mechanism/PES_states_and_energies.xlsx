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D63D5B97-D6D4-A945-B008-C724561B7202}" xr6:coauthVersionLast="47" xr6:coauthVersionMax="47" xr10:uidLastSave="{00000000-0000-0000-0000-000000000000}"/>
  <bookViews>
    <workbookView xWindow="5700" yWindow="-18380" windowWidth="25820" windowHeight="17540" activeTab="1" xr2:uid="{494B2AD6-E3BB-C446-ADA7-78FC0F72E1CC}"/>
  </bookViews>
  <sheets>
    <sheet name="N-Me-catalyst" sheetId="2" r:id="rId1"/>
    <sheet name="3,3'-Ph-cataly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D17" i="2"/>
  <c r="D16" i="2"/>
  <c r="D15" i="2"/>
  <c r="D14" i="2"/>
  <c r="D12" i="2"/>
  <c r="D11" i="2"/>
  <c r="D10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<sst xmlns="http://schemas.openxmlformats.org/spreadsheetml/2006/main" count="50" uniqueCount="36">
  <si>
    <t>after 2nd bond</t>
  </si>
  <si>
    <t>proton shift ts</t>
  </si>
  <si>
    <t>after proton shift</t>
  </si>
  <si>
    <t>ddG</t>
  </si>
  <si>
    <t>free product plus free cat</t>
  </si>
  <si>
    <r>
      <t xml:space="preserve">Maleimide </t>
    </r>
    <r>
      <rPr>
        <b/>
        <sz val="12"/>
        <color theme="1"/>
        <rFont val="Calibri"/>
        <family val="2"/>
        <scheme val="minor"/>
      </rPr>
      <t>E1</t>
    </r>
  </si>
  <si>
    <r>
      <t xml:space="preserve">Imino </t>
    </r>
    <r>
      <rPr>
        <b/>
        <sz val="12"/>
        <color theme="1"/>
        <rFont val="Calibri"/>
        <family val="2"/>
        <scheme val="minor"/>
      </rPr>
      <t>A2</t>
    </r>
  </si>
  <si>
    <r>
      <t xml:space="preserve">free product </t>
    </r>
    <r>
      <rPr>
        <b/>
        <sz val="12"/>
        <color theme="1"/>
        <rFont val="Calibri"/>
        <family val="2"/>
        <scheme val="minor"/>
      </rPr>
      <t>P2</t>
    </r>
  </si>
  <si>
    <r>
      <t xml:space="preserve">Deprotonation </t>
    </r>
    <r>
      <rPr>
        <b/>
        <sz val="12"/>
        <color theme="1"/>
        <rFont val="Calibri"/>
        <family val="2"/>
        <scheme val="minor"/>
      </rPr>
      <t>TSdepr</t>
    </r>
  </si>
  <si>
    <r>
      <t xml:space="preserve">Int after deprotonation </t>
    </r>
    <r>
      <rPr>
        <b/>
        <sz val="12"/>
        <color theme="1"/>
        <rFont val="Calibri"/>
        <family val="2"/>
        <scheme val="minor"/>
      </rPr>
      <t>A_max</t>
    </r>
  </si>
  <si>
    <r>
      <t xml:space="preserve">int before ts </t>
    </r>
    <r>
      <rPr>
        <b/>
        <sz val="12"/>
        <color theme="1"/>
        <rFont val="Calibri"/>
        <family val="2"/>
        <scheme val="minor"/>
      </rPr>
      <t>A_min</t>
    </r>
  </si>
  <si>
    <r>
      <t xml:space="preserve">1st Cyclo </t>
    </r>
    <r>
      <rPr>
        <b/>
        <sz val="12"/>
        <color theme="1"/>
        <rFont val="Calibri"/>
        <family val="2"/>
        <scheme val="minor"/>
      </rPr>
      <t>TS1_major</t>
    </r>
  </si>
  <si>
    <r>
      <t xml:space="preserve">Int after 1st cc </t>
    </r>
    <r>
      <rPr>
        <b/>
        <sz val="12"/>
        <color theme="1"/>
        <rFont val="Calibri"/>
        <family val="2"/>
        <scheme val="minor"/>
      </rPr>
      <t>B_major</t>
    </r>
  </si>
  <si>
    <r>
      <t xml:space="preserve">2nd bond plus proton shift </t>
    </r>
    <r>
      <rPr>
        <b/>
        <sz val="12"/>
        <color theme="1"/>
        <rFont val="Calibri"/>
        <family val="2"/>
        <scheme val="minor"/>
      </rPr>
      <t>TS2_major</t>
    </r>
  </si>
  <si>
    <r>
      <t xml:space="preserve">after 2nd bond </t>
    </r>
    <r>
      <rPr>
        <b/>
        <sz val="12"/>
        <color theme="1"/>
        <rFont val="Calibri"/>
        <family val="2"/>
        <scheme val="minor"/>
      </rPr>
      <t>C_major</t>
    </r>
  </si>
  <si>
    <t>delta G / kJ mol^-1</t>
  </si>
  <si>
    <t>delta G/ kcal mol^-1</t>
  </si>
  <si>
    <r>
      <t xml:space="preserve">1st Cyclo </t>
    </r>
    <r>
      <rPr>
        <b/>
        <sz val="12"/>
        <color theme="1"/>
        <rFont val="Calibri"/>
        <family val="2"/>
        <scheme val="minor"/>
      </rPr>
      <t>TS1_minor</t>
    </r>
  </si>
  <si>
    <r>
      <t xml:space="preserve">Int after 1st cc </t>
    </r>
    <r>
      <rPr>
        <b/>
        <sz val="12"/>
        <color theme="1"/>
        <rFont val="Calibri"/>
        <family val="2"/>
        <scheme val="minor"/>
      </rPr>
      <t>B_minor</t>
    </r>
  </si>
  <si>
    <r>
      <t xml:space="preserve">2nd bond </t>
    </r>
    <r>
      <rPr>
        <b/>
        <sz val="12"/>
        <color theme="1"/>
        <rFont val="Calibri"/>
        <family val="2"/>
        <scheme val="minor"/>
      </rPr>
      <t>TS2_minor</t>
    </r>
  </si>
  <si>
    <r>
      <t xml:space="preserve">product bound to cat </t>
    </r>
    <r>
      <rPr>
        <b/>
        <sz val="12"/>
        <color theme="1"/>
        <rFont val="Calibri"/>
        <family val="2"/>
        <scheme val="minor"/>
      </rPr>
      <t>C_minor</t>
    </r>
  </si>
  <si>
    <r>
      <t xml:space="preserve">Cat </t>
    </r>
    <r>
      <rPr>
        <b/>
        <sz val="12"/>
        <color theme="1"/>
        <rFont val="Calibri"/>
        <family val="2"/>
        <scheme val="minor"/>
      </rPr>
      <t>KA5</t>
    </r>
  </si>
  <si>
    <r>
      <t xml:space="preserve">Cat </t>
    </r>
    <r>
      <rPr>
        <b/>
        <sz val="12"/>
        <color theme="1"/>
        <rFont val="Calibri"/>
        <family val="2"/>
        <scheme val="minor"/>
      </rPr>
      <t>KA1</t>
    </r>
  </si>
  <si>
    <r>
      <t xml:space="preserve">product </t>
    </r>
    <r>
      <rPr>
        <b/>
        <sz val="12"/>
        <color theme="1"/>
        <rFont val="Calibri"/>
        <family val="2"/>
        <scheme val="minor"/>
      </rPr>
      <t>P2</t>
    </r>
  </si>
  <si>
    <t>TSdepr</t>
  </si>
  <si>
    <r>
      <t xml:space="preserve">Int after depr </t>
    </r>
    <r>
      <rPr>
        <b/>
        <sz val="12"/>
        <color theme="1"/>
        <rFont val="Calibri"/>
        <family val="2"/>
        <scheme val="minor"/>
      </rPr>
      <t>A_max</t>
    </r>
  </si>
  <si>
    <t>TS1_major</t>
  </si>
  <si>
    <r>
      <t xml:space="preserve">Int after TS </t>
    </r>
    <r>
      <rPr>
        <b/>
        <sz val="12"/>
        <color theme="1"/>
        <rFont val="Calibri"/>
        <family val="2"/>
        <scheme val="minor"/>
      </rPr>
      <t>B_major</t>
    </r>
  </si>
  <si>
    <r>
      <t xml:space="preserve">Int after TS </t>
    </r>
    <r>
      <rPr>
        <b/>
        <sz val="12"/>
        <color theme="1"/>
        <rFont val="Calibri"/>
        <family val="2"/>
        <scheme val="minor"/>
      </rPr>
      <t>B_minor</t>
    </r>
  </si>
  <si>
    <r>
      <rPr>
        <sz val="12"/>
        <color theme="1"/>
        <rFont val="Calibri"/>
        <family val="2"/>
        <scheme val="minor"/>
      </rPr>
      <t>2nd bond</t>
    </r>
    <r>
      <rPr>
        <b/>
        <sz val="12"/>
        <color theme="1"/>
        <rFont val="Calibri"/>
        <family val="2"/>
        <scheme val="minor"/>
      </rPr>
      <t xml:space="preserve"> TS2_major</t>
    </r>
  </si>
  <si>
    <r>
      <t xml:space="preserve">after pt oh </t>
    </r>
    <r>
      <rPr>
        <b/>
        <sz val="12"/>
        <color theme="1"/>
        <rFont val="Calibri"/>
        <family val="2"/>
        <scheme val="minor"/>
      </rPr>
      <t>C_minor</t>
    </r>
  </si>
  <si>
    <t>State</t>
  </si>
  <si>
    <t>SPE / H</t>
  </si>
  <si>
    <t>thermal contr / H</t>
  </si>
  <si>
    <t>G / H</t>
  </si>
  <si>
    <t>TS1_minor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</si>
</sst>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2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1" fillId="0" borderId="0" xfId="0" applyNumberFormat="1" applyFont="1"/>
    <xf numFmtId="0" fontId="0" fillId="3" borderId="3" xfId="0" applyFill="1" applyBorder="1"/>
    <xf numFmtId="164" fontId="1" fillId="3" borderId="0" xfId="0" applyNumberFormat="1" applyFont="1" applyFill="1"/>
    <xf numFmtId="0" fontId="1" fillId="3" borderId="3" xfId="0" applyFont="1" applyFill="1" applyBorder="1"/>
    <xf numFmtId="0" fontId="0" fillId="2" borderId="3" xfId="0" applyFill="1" applyBorder="1"/>
    <xf numFmtId="164" fontId="1" fillId="2" borderId="0" xfId="0" applyNumberFormat="1" applyFont="1" applyFill="1"/>
    <xf numFmtId="0" fontId="1" fillId="0" borderId="3" xfId="0" applyFont="1" applyBorder="1"/>
    <xf numFmtId="164" fontId="0" fillId="3" borderId="0" xfId="0" applyNumberFormat="1" applyFill="1"/>
    <xf numFmtId="164" fontId="0" fillId="2" borderId="0" xfId="0" applyNumberFormat="1" applyFill="1"/>
    <xf numFmtId="2" fontId="1" fillId="2" borderId="0" xfId="0" applyNumberFormat="1" applyFont="1" applyFill="1"/>
    <xf numFmtId="2" fontId="1" fillId="3" borderId="0" xfId="0" applyNumberFormat="1" applyFont="1" applyFill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326A-1CEF-674F-855C-043A810279F1}">
  <dimension ref="A1:H19"/>
  <sheetViews>
    <sheetView zoomScale="125" zoomScaleNormal="110" workbookViewId="0">
      <selection activeCell="A17" sqref="A17"/>
    </sheetView>
  </sheetViews>
  <sheetFormatPr baseColWidth="10" defaultRowHeight="16" x14ac:dyDescent="0.2"/>
  <cols>
    <col min="1" max="1" width="30.1640625" customWidth="1"/>
    <col min="2" max="6" width="18.6640625" customWidth="1"/>
  </cols>
  <sheetData>
    <row r="1" spans="1:8" x14ac:dyDescent="0.2">
      <c r="A1" s="8" t="s">
        <v>31</v>
      </c>
      <c r="B1" s="9" t="s">
        <v>32</v>
      </c>
      <c r="C1" s="9" t="s">
        <v>33</v>
      </c>
      <c r="D1" s="9" t="s">
        <v>34</v>
      </c>
      <c r="E1" t="s">
        <v>15</v>
      </c>
      <c r="F1" t="s">
        <v>16</v>
      </c>
      <c r="G1" s="9"/>
      <c r="H1" s="9"/>
    </row>
    <row r="2" spans="1:8" x14ac:dyDescent="0.2">
      <c r="A2" s="10" t="s">
        <v>6</v>
      </c>
      <c r="B2">
        <v>-632.23314800000003</v>
      </c>
      <c r="C2">
        <v>0.18829399999999999</v>
      </c>
      <c r="D2">
        <f>B2+C2</f>
        <v>-632.04485399999999</v>
      </c>
    </row>
    <row r="3" spans="1:8" x14ac:dyDescent="0.2">
      <c r="A3" s="10" t="s">
        <v>5</v>
      </c>
      <c r="B3">
        <v>-398.780551</v>
      </c>
      <c r="C3">
        <v>7.1017999999999998E-2</v>
      </c>
      <c r="D3">
        <f t="shared" ref="D3:D6" si="0">B3+C3</f>
        <v>-398.70953300000002</v>
      </c>
    </row>
    <row r="4" spans="1:8" x14ac:dyDescent="0.2">
      <c r="A4" s="10" t="s">
        <v>22</v>
      </c>
      <c r="B4">
        <v>-1110.150132</v>
      </c>
      <c r="C4">
        <v>0.31943199999999999</v>
      </c>
      <c r="D4">
        <f t="shared" si="0"/>
        <v>-1109.8307</v>
      </c>
    </row>
    <row r="5" spans="1:8" x14ac:dyDescent="0.2">
      <c r="A5" s="10" t="s">
        <v>23</v>
      </c>
      <c r="B5">
        <v>-1031.075677</v>
      </c>
      <c r="C5">
        <v>0.28465800000000002</v>
      </c>
      <c r="D5">
        <f t="shared" ref="D5" si="1">B5+C5</f>
        <v>-1030.791019</v>
      </c>
      <c r="E5" s="7">
        <v>-96.177316000142241</v>
      </c>
      <c r="F5" s="11">
        <v>-22.986378524033995</v>
      </c>
    </row>
    <row r="6" spans="1:8" x14ac:dyDescent="0.2">
      <c r="A6" s="17" t="s">
        <v>24</v>
      </c>
      <c r="B6">
        <v>-1742.3787130000001</v>
      </c>
      <c r="C6">
        <v>0.52508100000000002</v>
      </c>
      <c r="D6">
        <f t="shared" si="0"/>
        <v>-1741.8536320000001</v>
      </c>
      <c r="E6" s="7">
        <v>57.556210999748146</v>
      </c>
      <c r="F6" s="11">
        <v>13.755934428939806</v>
      </c>
      <c r="G6" s="11"/>
    </row>
    <row r="7" spans="1:8" x14ac:dyDescent="0.2">
      <c r="A7" s="10" t="s">
        <v>25</v>
      </c>
      <c r="B7">
        <v>-1742.3837639999999</v>
      </c>
      <c r="C7">
        <v>0.52842</v>
      </c>
      <c r="D7">
        <f>B7+C7</f>
        <v>-1741.8553439999998</v>
      </c>
      <c r="E7" s="7">
        <v>53.061355000351114</v>
      </c>
      <c r="F7" s="11">
        <v>12.681663845083916</v>
      </c>
      <c r="G7" s="11"/>
    </row>
    <row r="8" spans="1:8" x14ac:dyDescent="0.2">
      <c r="A8" s="12" t="s">
        <v>10</v>
      </c>
      <c r="B8" s="4">
        <v>-1742.3876029999999</v>
      </c>
      <c r="C8" s="4">
        <v>0.52875399999999995</v>
      </c>
      <c r="D8" s="4">
        <f t="shared" ref="D8" si="2">B8+C8</f>
        <v>-1741.858849</v>
      </c>
      <c r="E8" s="18">
        <v>43.858977500004585</v>
      </c>
      <c r="F8" s="13">
        <v>10.482295622501095</v>
      </c>
      <c r="G8" s="13"/>
    </row>
    <row r="9" spans="1:8" x14ac:dyDescent="0.2">
      <c r="A9" s="14" t="s">
        <v>26</v>
      </c>
      <c r="B9" s="4">
        <v>-2141.182397</v>
      </c>
      <c r="C9" s="4">
        <v>0.62182199999999999</v>
      </c>
      <c r="D9" s="4">
        <v>-2140.560575</v>
      </c>
      <c r="E9" s="18">
        <v>64.3562559998918</v>
      </c>
      <c r="F9" s="13">
        <v>15.381145183974139</v>
      </c>
      <c r="G9" s="13"/>
    </row>
    <row r="10" spans="1:8" x14ac:dyDescent="0.2">
      <c r="A10" s="12" t="s">
        <v>27</v>
      </c>
      <c r="B10" s="4">
        <v>-2141.1969629999999</v>
      </c>
      <c r="C10" s="4">
        <v>0.62297800000000003</v>
      </c>
      <c r="D10" s="4">
        <f>B10+C10</f>
        <v>-2140.573985</v>
      </c>
      <c r="E10" s="18">
        <v>29.148300999834873</v>
      </c>
      <c r="F10" s="13">
        <v>6.9664439389605342</v>
      </c>
      <c r="G10" s="13"/>
    </row>
    <row r="11" spans="1:8" x14ac:dyDescent="0.2">
      <c r="A11" s="14" t="s">
        <v>29</v>
      </c>
      <c r="B11" s="4">
        <v>-2141.195553</v>
      </c>
      <c r="C11" s="4">
        <v>0.62354299999999996</v>
      </c>
      <c r="D11" s="4">
        <f>B11+C11</f>
        <v>-2140.5720099999999</v>
      </c>
      <c r="E11" s="18">
        <v>34.333663500174907</v>
      </c>
      <c r="F11" s="13">
        <v>8.205745576541803</v>
      </c>
      <c r="G11" s="13"/>
    </row>
    <row r="12" spans="1:8" x14ac:dyDescent="0.2">
      <c r="A12" s="12" t="s">
        <v>14</v>
      </c>
      <c r="B12" s="4">
        <v>-2141.2440329999999</v>
      </c>
      <c r="C12" s="4">
        <v>0.62907199999999996</v>
      </c>
      <c r="D12" s="4">
        <f>B12+C12</f>
        <v>-2140.6149609999998</v>
      </c>
      <c r="E12" s="18">
        <v>-78.434186999569647</v>
      </c>
      <c r="F12" s="13">
        <v>-18.745770692897146</v>
      </c>
      <c r="G12" s="13"/>
    </row>
    <row r="13" spans="1:8" x14ac:dyDescent="0.2">
      <c r="A13" s="22" t="s">
        <v>35</v>
      </c>
      <c r="B13" s="2">
        <v>-2141.1766160000002</v>
      </c>
      <c r="C13" s="2">
        <v>0.621143</v>
      </c>
      <c r="D13" s="2">
        <v>-2140.5554729999999</v>
      </c>
      <c r="E13" s="19">
        <v>77.751557000099183</v>
      </c>
      <c r="F13" s="16">
        <v>18.582622123023704</v>
      </c>
      <c r="G13" s="16"/>
    </row>
    <row r="14" spans="1:8" x14ac:dyDescent="0.2">
      <c r="A14" s="15" t="s">
        <v>28</v>
      </c>
      <c r="B14" s="2">
        <v>-2141.1958770000001</v>
      </c>
      <c r="C14" s="2">
        <v>0.62283299999999997</v>
      </c>
      <c r="D14" s="2">
        <f>B14+C14</f>
        <v>-2140.5730440000002</v>
      </c>
      <c r="E14" s="19">
        <v>31.61889649926843</v>
      </c>
      <c r="F14" s="16">
        <v>7.5569162633251548</v>
      </c>
      <c r="G14" s="16"/>
    </row>
    <row r="15" spans="1:8" x14ac:dyDescent="0.2">
      <c r="A15" s="15" t="s">
        <v>19</v>
      </c>
      <c r="B15" s="2">
        <v>-2141.182538</v>
      </c>
      <c r="C15" s="2">
        <v>0.62489399999999995</v>
      </c>
      <c r="D15" s="2">
        <f>B15+C15</f>
        <v>-2140.557644</v>
      </c>
      <c r="E15" s="19">
        <v>72.051596499864445</v>
      </c>
      <c r="F15" s="16">
        <v>17.220331563467603</v>
      </c>
      <c r="G15" s="16"/>
    </row>
    <row r="16" spans="1:8" x14ac:dyDescent="0.2">
      <c r="A16" s="15" t="s">
        <v>0</v>
      </c>
      <c r="B16" s="2">
        <v>-2141.1916160000001</v>
      </c>
      <c r="C16" s="2">
        <v>0.62500199999999995</v>
      </c>
      <c r="D16" s="2">
        <f>B16+C16</f>
        <v>-2140.5666139999998</v>
      </c>
      <c r="E16" s="19">
        <v>48.500861500224346</v>
      </c>
      <c r="F16" s="16">
        <v>11.591705898553618</v>
      </c>
      <c r="G16" s="16"/>
    </row>
    <row r="17" spans="1:7" x14ac:dyDescent="0.2">
      <c r="A17" s="15" t="s">
        <v>30</v>
      </c>
      <c r="B17" s="2">
        <v>-2141.2404059999999</v>
      </c>
      <c r="C17" s="2">
        <v>0.62959699999999996</v>
      </c>
      <c r="D17" s="2">
        <f t="shared" ref="D17" si="3">B17+C17</f>
        <v>-2140.6108089999998</v>
      </c>
      <c r="E17" s="19">
        <v>-67.533110999631617</v>
      </c>
      <c r="F17" s="16">
        <v>-16.140413528911957</v>
      </c>
      <c r="G17" s="16"/>
    </row>
    <row r="18" spans="1:7" x14ac:dyDescent="0.2">
      <c r="A18" s="10" t="s">
        <v>3</v>
      </c>
      <c r="F18" s="11">
        <f>F13-F9</f>
        <v>3.2014769390495648</v>
      </c>
    </row>
    <row r="19" spans="1:7" x14ac:dyDescent="0.2">
      <c r="A19" t="s">
        <v>4</v>
      </c>
      <c r="E19" s="7">
        <v>-96.177316000142241</v>
      </c>
      <c r="F19" s="7">
        <v>-22.986378524033995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B8D3-4184-9749-8DA6-7F40355AB453}">
  <dimension ref="A1:F21"/>
  <sheetViews>
    <sheetView tabSelected="1" zoomScale="125" workbookViewId="0">
      <selection activeCell="F10" sqref="F10"/>
    </sheetView>
  </sheetViews>
  <sheetFormatPr baseColWidth="10" defaultRowHeight="16" x14ac:dyDescent="0.2"/>
  <cols>
    <col min="1" max="1" width="35.5" customWidth="1"/>
    <col min="2" max="2" width="14.83203125" customWidth="1"/>
    <col min="3" max="3" width="16.83203125" customWidth="1"/>
    <col min="4" max="4" width="16.33203125" customWidth="1"/>
    <col min="5" max="5" width="18.83203125" customWidth="1"/>
    <col min="6" max="6" width="18.6640625" customWidth="1"/>
  </cols>
  <sheetData>
    <row r="1" spans="1:6" x14ac:dyDescent="0.2">
      <c r="A1" t="s">
        <v>31</v>
      </c>
      <c r="B1" t="s">
        <v>32</v>
      </c>
      <c r="C1" t="s">
        <v>33</v>
      </c>
      <c r="D1" t="s">
        <v>34</v>
      </c>
      <c r="E1" t="s">
        <v>15</v>
      </c>
      <c r="F1" t="s">
        <v>16</v>
      </c>
    </row>
    <row r="2" spans="1:6" x14ac:dyDescent="0.2">
      <c r="A2" t="s">
        <v>21</v>
      </c>
      <c r="B2">
        <v>-1803.3200670000001</v>
      </c>
      <c r="C2">
        <v>0.55079100000000003</v>
      </c>
      <c r="D2">
        <v>-1802.7692760000002</v>
      </c>
    </row>
    <row r="3" spans="1:6" x14ac:dyDescent="0.2">
      <c r="A3" t="s">
        <v>6</v>
      </c>
      <c r="B3">
        <v>-632.23314800000003</v>
      </c>
      <c r="C3">
        <v>0.18829399999999999</v>
      </c>
      <c r="D3">
        <v>-632.04485399999999</v>
      </c>
    </row>
    <row r="4" spans="1:6" x14ac:dyDescent="0.2">
      <c r="A4" t="s">
        <v>5</v>
      </c>
      <c r="B4">
        <v>-398.780551</v>
      </c>
      <c r="C4">
        <v>7.1017999999999998E-2</v>
      </c>
      <c r="D4">
        <v>-398.70953300000002</v>
      </c>
    </row>
    <row r="5" spans="1:6" x14ac:dyDescent="0.2">
      <c r="A5" t="s">
        <v>7</v>
      </c>
      <c r="B5">
        <v>-1031.075677</v>
      </c>
      <c r="C5">
        <v>0.28465800000000002</v>
      </c>
      <c r="D5">
        <v>-1030.791019</v>
      </c>
    </row>
    <row r="6" spans="1:6" x14ac:dyDescent="0.2">
      <c r="A6" t="s">
        <v>8</v>
      </c>
      <c r="B6">
        <v>-2435.5489729999999</v>
      </c>
      <c r="C6">
        <v>0.76057799999999998</v>
      </c>
      <c r="D6">
        <v>-2434.788395</v>
      </c>
      <c r="E6" s="1">
        <v>67.567242500440898</v>
      </c>
      <c r="F6" s="6">
        <v>16.148570957605372</v>
      </c>
    </row>
    <row r="7" spans="1:6" x14ac:dyDescent="0.2">
      <c r="A7" t="s">
        <v>9</v>
      </c>
      <c r="B7">
        <v>-2435.5530349999999</v>
      </c>
      <c r="C7">
        <v>0.76238899999999998</v>
      </c>
      <c r="D7">
        <v>-2434.7906459999999</v>
      </c>
      <c r="E7" s="1">
        <v>61.65724200073646</v>
      </c>
      <c r="F7" s="6">
        <v>14.736080838176013</v>
      </c>
    </row>
    <row r="8" spans="1:6" x14ac:dyDescent="0.2">
      <c r="A8" s="2" t="s">
        <v>10</v>
      </c>
      <c r="B8" s="2">
        <v>-2435.5577800000001</v>
      </c>
      <c r="C8" s="2">
        <v>0.76171900000000003</v>
      </c>
      <c r="D8" s="2">
        <v>-2434.796061</v>
      </c>
      <c r="E8" s="3">
        <v>47.440159500514483</v>
      </c>
      <c r="F8" s="20">
        <v>11.338198120622961</v>
      </c>
    </row>
    <row r="9" spans="1:6" x14ac:dyDescent="0.2">
      <c r="A9" s="2" t="s">
        <v>11</v>
      </c>
      <c r="B9" s="2">
        <v>-2834.3607729999999</v>
      </c>
      <c r="C9" s="2">
        <v>0.85627799999999998</v>
      </c>
      <c r="D9" s="2">
        <v>-2833.5044949999997</v>
      </c>
      <c r="E9" s="3">
        <v>50.325584000691606</v>
      </c>
      <c r="F9" s="20">
        <v>12.027814576165293</v>
      </c>
    </row>
    <row r="10" spans="1:6" x14ac:dyDescent="0.2">
      <c r="A10" s="2" t="s">
        <v>12</v>
      </c>
      <c r="B10" s="2">
        <v>-2834.3758250000001</v>
      </c>
      <c r="C10" s="2">
        <v>0.85786700000000005</v>
      </c>
      <c r="D10" s="2">
        <v>-2833.5179579999999</v>
      </c>
      <c r="E10" s="3">
        <v>14.978477500090548</v>
      </c>
      <c r="F10" s="20">
        <v>3.5798561225216408</v>
      </c>
    </row>
    <row r="11" spans="1:6" x14ac:dyDescent="0.2">
      <c r="A11" s="2" t="s">
        <v>13</v>
      </c>
      <c r="B11" s="2">
        <v>-2834.369506</v>
      </c>
      <c r="C11" s="2">
        <v>0.85739299999999996</v>
      </c>
      <c r="D11" s="2">
        <v>-2833.5121130000002</v>
      </c>
      <c r="E11" s="3">
        <v>30.324524999253072</v>
      </c>
      <c r="F11" s="20">
        <v>7.2475614748214836</v>
      </c>
    </row>
    <row r="12" spans="1:6" x14ac:dyDescent="0.2">
      <c r="A12" s="2" t="s">
        <v>14</v>
      </c>
      <c r="B12" s="2">
        <v>-2834.4153139999999</v>
      </c>
      <c r="C12" s="2">
        <v>0.86295900000000003</v>
      </c>
      <c r="D12" s="2">
        <v>-2833.5523549999998</v>
      </c>
      <c r="E12" s="3">
        <v>-75.330845999644225</v>
      </c>
      <c r="F12" s="20">
        <v>-18.004072193914968</v>
      </c>
    </row>
    <row r="13" spans="1:6" x14ac:dyDescent="0.2">
      <c r="A13" s="4" t="s">
        <v>17</v>
      </c>
      <c r="B13" s="4">
        <v>-2834.3512009999999</v>
      </c>
      <c r="C13" s="4">
        <v>0.85736599999999996</v>
      </c>
      <c r="D13" s="4">
        <v>-2833.4938349999998</v>
      </c>
      <c r="E13" s="5">
        <v>78.313414000471539</v>
      </c>
      <c r="F13" s="21">
        <v>18.716905946112696</v>
      </c>
    </row>
    <row r="14" spans="1:6" x14ac:dyDescent="0.2">
      <c r="A14" s="4" t="s">
        <v>18</v>
      </c>
      <c r="B14" s="4">
        <v>-2834.368817</v>
      </c>
      <c r="C14" s="4">
        <v>0.85939900000000002</v>
      </c>
      <c r="D14" s="4">
        <v>-2833.5094180000001</v>
      </c>
      <c r="E14" s="5">
        <v>37.400247499596162</v>
      </c>
      <c r="F14" s="21">
        <v>8.9386591524034831</v>
      </c>
    </row>
    <row r="15" spans="1:6" x14ac:dyDescent="0.2">
      <c r="A15" s="4" t="s">
        <v>19</v>
      </c>
      <c r="B15" s="4">
        <v>-2834.3603640000001</v>
      </c>
      <c r="C15" s="4">
        <v>0.85936299999999999</v>
      </c>
      <c r="D15" s="4">
        <v>-2833.5010010000001</v>
      </c>
      <c r="E15" s="5">
        <v>59.499080999618627</v>
      </c>
      <c r="F15" s="21">
        <v>14.220280358908852</v>
      </c>
    </row>
    <row r="16" spans="1:6" x14ac:dyDescent="0.2">
      <c r="A16" s="4" t="s">
        <v>0</v>
      </c>
      <c r="B16" s="4">
        <v>-2834.3725439999998</v>
      </c>
      <c r="C16" s="4">
        <v>0.85883799999999999</v>
      </c>
      <c r="D16" s="4">
        <v>-2833.5137059999997</v>
      </c>
      <c r="E16" s="5">
        <v>26.142103500559642</v>
      </c>
      <c r="F16" s="21">
        <v>6.2479627366337542</v>
      </c>
    </row>
    <row r="17" spans="1:6" x14ac:dyDescent="0.2">
      <c r="A17" s="4" t="s">
        <v>1</v>
      </c>
      <c r="B17" s="4">
        <v>-2834.3700909999998</v>
      </c>
      <c r="C17" s="4">
        <v>0.85705799999999999</v>
      </c>
      <c r="D17" s="4">
        <v>-2833.5130329999997</v>
      </c>
      <c r="E17" s="5">
        <v>27.909065000575765</v>
      </c>
      <c r="F17" s="21">
        <v>6.6702665351376078</v>
      </c>
    </row>
    <row r="18" spans="1:6" x14ac:dyDescent="0.2">
      <c r="A18" s="4" t="s">
        <v>2</v>
      </c>
      <c r="B18" s="4">
        <v>-2834.3986620000001</v>
      </c>
      <c r="C18" s="4">
        <v>0.86051800000000001</v>
      </c>
      <c r="D18" s="4">
        <v>-2833.5381440000001</v>
      </c>
      <c r="E18" s="5">
        <v>-38.019865500419655</v>
      </c>
      <c r="F18" s="21">
        <v>-9.0867478546002971</v>
      </c>
    </row>
    <row r="19" spans="1:6" x14ac:dyDescent="0.2">
      <c r="A19" s="4" t="s">
        <v>20</v>
      </c>
      <c r="B19" s="4">
        <v>-2834.4011489999998</v>
      </c>
      <c r="C19" s="4">
        <v>0.86064600000000002</v>
      </c>
      <c r="D19" s="4">
        <v>-2833.5405029999997</v>
      </c>
      <c r="E19" s="5">
        <v>-44.213419999408188</v>
      </c>
      <c r="F19" s="21">
        <v>-10.567007379858557</v>
      </c>
    </row>
    <row r="20" spans="1:6" x14ac:dyDescent="0.2">
      <c r="A20" t="s">
        <v>3</v>
      </c>
      <c r="F20" s="6">
        <v>6.6890913699474037</v>
      </c>
    </row>
    <row r="21" spans="1:6" x14ac:dyDescent="0.2">
      <c r="A21" t="s">
        <v>4</v>
      </c>
      <c r="E21" s="7">
        <v>-96.177316000142241</v>
      </c>
      <c r="F21" s="7">
        <v>-22.986378524033995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N-Me-catalyst</vt:lpstr>
      <vt:lpstr>3,3'-Ph-catalyst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