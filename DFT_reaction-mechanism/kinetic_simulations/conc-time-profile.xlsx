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0" documentId="13_ncr:1_{D956A3C2-B76B-A648-9C57-F7F06960C4DB}" xr6:coauthVersionLast="47" xr6:coauthVersionMax="47" xr10:uidLastSave="{00000000-0000-0000-0000-000000000000}"/>
  <bookViews>
    <workbookView xWindow="4420" yWindow="660" windowWidth="25820" windowHeight="17260" xr2:uid="{10ECC4D3-4046-4458-8B47-4E026DCD08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K3" i="1"/>
  <c r="J4" i="1"/>
  <c r="K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K2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2" i="1"/>
</calcChain>
</file>

<file path=xl/sharedStrings.xml><?xml version="1.0" encoding="utf-8"?>
<sst xmlns="http://schemas.openxmlformats.org/spreadsheetml/2006/main" count="13" uniqueCount="13">
  <si>
    <t>time</t>
  </si>
  <si>
    <t>int imino</t>
  </si>
  <si>
    <t>int nmm</t>
  </si>
  <si>
    <t>int prod</t>
  </si>
  <si>
    <t>n nmm</t>
  </si>
  <si>
    <t>n imino</t>
  </si>
  <si>
    <t>n product</t>
  </si>
  <si>
    <t>yield</t>
  </si>
  <si>
    <t>ratio (imino/nmm)</t>
  </si>
  <si>
    <t>conv (%)</t>
  </si>
  <si>
    <t>c(nmm)</t>
  </si>
  <si>
    <t>c(imino)</t>
  </si>
  <si>
    <t>c(product)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</si>
</sst>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4" borderId="1" xfId="0" applyFont="1" applyFill="1" applyBorder="1"/>
    <xf numFmtId="0" fontId="1" fillId="3" borderId="1" xfId="0" applyFont="1" applyFill="1" applyBorder="1"/>
    <xf numFmtId="0" fontId="1" fillId="5" borderId="1" xfId="0" applyFont="1" applyFill="1" applyBorder="1"/>
    <xf numFmtId="20" fontId="0" fillId="0" borderId="2" xfId="0" applyNumberFormat="1" applyBorder="1"/>
    <xf numFmtId="0" fontId="0" fillId="4" borderId="2" xfId="0" applyFill="1" applyBorder="1"/>
    <xf numFmtId="0" fontId="0" fillId="5" borderId="2" xfId="0" applyFill="1" applyBorder="1"/>
    <xf numFmtId="21" fontId="0" fillId="0" borderId="0" xfId="0" applyNumberFormat="1"/>
    <xf numFmtId="20" fontId="0" fillId="0" borderId="0" xfId="0" applyNumberFormat="1"/>
    <xf numFmtId="0" fontId="0" fillId="4" borderId="0" xfId="0" applyFill="1"/>
    <xf numFmtId="164" fontId="0" fillId="3" borderId="2" xfId="0" applyNumberFormat="1" applyFill="1" applyBorder="1"/>
    <xf numFmtId="165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 nmm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Sheet1!$B$2:$B$18</c:f>
              <c:numCache>
                <c:formatCode>h:mm</c:formatCode>
                <c:ptCount val="17"/>
                <c:pt idx="0">
                  <c:v>0</c:v>
                </c:pt>
                <c:pt idx="1">
                  <c:v>5.6828703703702965E-3</c:v>
                </c:pt>
                <c:pt idx="2">
                  <c:v>7.1527777777777857E-3</c:v>
                </c:pt>
                <c:pt idx="3">
                  <c:v>1.2766203703703627E-2</c:v>
                </c:pt>
                <c:pt idx="4">
                  <c:v>1.4236111111111116E-2</c:v>
                </c:pt>
                <c:pt idx="5">
                  <c:v>1.9583333333333286E-2</c:v>
                </c:pt>
                <c:pt idx="6">
                  <c:v>2.1064814814814814E-2</c:v>
                </c:pt>
                <c:pt idx="7">
                  <c:v>2.6446759259259212E-2</c:v>
                </c:pt>
                <c:pt idx="8">
                  <c:v>2.792824074074074E-2</c:v>
                </c:pt>
                <c:pt idx="9">
                  <c:v>3.3449074074074048E-2</c:v>
                </c:pt>
                <c:pt idx="10">
                  <c:v>3.4965277777777692E-2</c:v>
                </c:pt>
                <c:pt idx="11">
                  <c:v>4.3900462962962905E-2</c:v>
                </c:pt>
                <c:pt idx="12">
                  <c:v>5.0740740740740753E-2</c:v>
                </c:pt>
                <c:pt idx="13">
                  <c:v>5.7789351851851856E-2</c:v>
                </c:pt>
                <c:pt idx="14">
                  <c:v>6.4965277777777719E-2</c:v>
                </c:pt>
                <c:pt idx="15">
                  <c:v>7.1678240740740695E-2</c:v>
                </c:pt>
                <c:pt idx="16">
                  <c:v>7.8611111111111076E-2</c:v>
                </c:pt>
              </c:numCache>
            </c:numRef>
          </c:xVal>
          <c:yVal>
            <c:numRef>
              <c:f>Sheet1!$I$2:$I$18</c:f>
              <c:numCache>
                <c:formatCode>General</c:formatCode>
                <c:ptCount val="17"/>
                <c:pt idx="0">
                  <c:v>6.7762923076923082E-2</c:v>
                </c:pt>
                <c:pt idx="1">
                  <c:v>3.878018614554584E-2</c:v>
                </c:pt>
                <c:pt idx="2">
                  <c:v>3.5015392340848633E-2</c:v>
                </c:pt>
                <c:pt idx="3">
                  <c:v>2.6314349833422897E-2</c:v>
                </c:pt>
                <c:pt idx="4">
                  <c:v>2.4512485695129985E-2</c:v>
                </c:pt>
                <c:pt idx="5">
                  <c:v>2.0087533627495675E-2</c:v>
                </c:pt>
                <c:pt idx="6">
                  <c:v>1.8951007739274783E-2</c:v>
                </c:pt>
                <c:pt idx="7">
                  <c:v>1.6116612324886335E-2</c:v>
                </c:pt>
                <c:pt idx="8">
                  <c:v>1.5403505701457862E-2</c:v>
                </c:pt>
                <c:pt idx="9">
                  <c:v>1.3227960242210957E-2</c:v>
                </c:pt>
                <c:pt idx="10">
                  <c:v>1.2608786815118466E-2</c:v>
                </c:pt>
                <c:pt idx="11">
                  <c:v>1.0367767569526301E-2</c:v>
                </c:pt>
                <c:pt idx="12">
                  <c:v>9.2153651625499679E-3</c:v>
                </c:pt>
                <c:pt idx="13">
                  <c:v>8.135637173568298E-3</c:v>
                </c:pt>
                <c:pt idx="14">
                  <c:v>7.3114442534610666E-3</c:v>
                </c:pt>
                <c:pt idx="15">
                  <c:v>6.5309787682279229E-3</c:v>
                </c:pt>
                <c:pt idx="16">
                  <c:v>5.9961271423585984E-3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B0-4849-A606-41563B154910}"/>
            </c:ext>
          </c:extLst>
        </c:ser>
        <c:ser>
          <c:idx val="1"/>
          <c:order val="1"/>
          <c:tx>
            <c:v>c imino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Sheet1!$B$2:$B$18</c:f>
              <c:numCache>
                <c:formatCode>h:mm</c:formatCode>
                <c:ptCount val="17"/>
                <c:pt idx="0">
                  <c:v>0</c:v>
                </c:pt>
                <c:pt idx="1">
                  <c:v>5.6828703703702965E-3</c:v>
                </c:pt>
                <c:pt idx="2">
                  <c:v>7.1527777777777857E-3</c:v>
                </c:pt>
                <c:pt idx="3">
                  <c:v>1.2766203703703627E-2</c:v>
                </c:pt>
                <c:pt idx="4">
                  <c:v>1.4236111111111116E-2</c:v>
                </c:pt>
                <c:pt idx="5">
                  <c:v>1.9583333333333286E-2</c:v>
                </c:pt>
                <c:pt idx="6">
                  <c:v>2.1064814814814814E-2</c:v>
                </c:pt>
                <c:pt idx="7">
                  <c:v>2.6446759259259212E-2</c:v>
                </c:pt>
                <c:pt idx="8">
                  <c:v>2.792824074074074E-2</c:v>
                </c:pt>
                <c:pt idx="9">
                  <c:v>3.3449074074074048E-2</c:v>
                </c:pt>
                <c:pt idx="10">
                  <c:v>3.4965277777777692E-2</c:v>
                </c:pt>
                <c:pt idx="11">
                  <c:v>4.3900462962962905E-2</c:v>
                </c:pt>
                <c:pt idx="12">
                  <c:v>5.0740740740740753E-2</c:v>
                </c:pt>
                <c:pt idx="13">
                  <c:v>5.7789351851851856E-2</c:v>
                </c:pt>
                <c:pt idx="14">
                  <c:v>6.4965277777777719E-2</c:v>
                </c:pt>
                <c:pt idx="15">
                  <c:v>7.1678240740740695E-2</c:v>
                </c:pt>
                <c:pt idx="16">
                  <c:v>7.8611111111111076E-2</c:v>
                </c:pt>
              </c:numCache>
            </c:numRef>
          </c:xVal>
          <c:yVal>
            <c:numRef>
              <c:f>Sheet1!$J$2:$J$18</c:f>
              <c:numCache>
                <c:formatCode>General</c:formatCode>
                <c:ptCount val="17"/>
                <c:pt idx="0">
                  <c:v>9.0735961538461529E-2</c:v>
                </c:pt>
                <c:pt idx="1">
                  <c:v>5.960149615658418E-2</c:v>
                </c:pt>
                <c:pt idx="2">
                  <c:v>5.5603145349617689E-2</c:v>
                </c:pt>
                <c:pt idx="3">
                  <c:v>4.624477105931183E-2</c:v>
                </c:pt>
                <c:pt idx="4">
                  <c:v>4.4586758398653822E-2</c:v>
                </c:pt>
                <c:pt idx="5">
                  <c:v>3.9786845650879796E-2</c:v>
                </c:pt>
                <c:pt idx="6">
                  <c:v>3.8697125110502557E-2</c:v>
                </c:pt>
                <c:pt idx="7">
                  <c:v>3.5506547164374562E-2</c:v>
                </c:pt>
                <c:pt idx="8">
                  <c:v>3.478594345886174E-2</c:v>
                </c:pt>
                <c:pt idx="9">
                  <c:v>3.2452490760966214E-2</c:v>
                </c:pt>
                <c:pt idx="10">
                  <c:v>3.2030037167706076E-2</c:v>
                </c:pt>
                <c:pt idx="11">
                  <c:v>2.9734776164983351E-2</c:v>
                </c:pt>
                <c:pt idx="12">
                  <c:v>2.8204767973881401E-2</c:v>
                </c:pt>
                <c:pt idx="13">
                  <c:v>2.7063457914896494E-2</c:v>
                </c:pt>
                <c:pt idx="14">
                  <c:v>2.6087111585960734E-2</c:v>
                </c:pt>
                <c:pt idx="15">
                  <c:v>2.5445229171540587E-2</c:v>
                </c:pt>
                <c:pt idx="16">
                  <c:v>2.474209009547949E-2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B0-4849-A606-41563B154910}"/>
            </c:ext>
          </c:extLst>
        </c:ser>
        <c:ser>
          <c:idx val="2"/>
          <c:order val="2"/>
          <c:tx>
            <c:v>c product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Sheet1!$B$2:$B$18</c:f>
              <c:numCache>
                <c:formatCode>h:mm</c:formatCode>
                <c:ptCount val="17"/>
                <c:pt idx="0">
                  <c:v>0</c:v>
                </c:pt>
                <c:pt idx="1">
                  <c:v>5.6828703703702965E-3</c:v>
                </c:pt>
                <c:pt idx="2">
                  <c:v>7.1527777777777857E-3</c:v>
                </c:pt>
                <c:pt idx="3">
                  <c:v>1.2766203703703627E-2</c:v>
                </c:pt>
                <c:pt idx="4">
                  <c:v>1.4236111111111116E-2</c:v>
                </c:pt>
                <c:pt idx="5">
                  <c:v>1.9583333333333286E-2</c:v>
                </c:pt>
                <c:pt idx="6">
                  <c:v>2.1064814814814814E-2</c:v>
                </c:pt>
                <c:pt idx="7">
                  <c:v>2.6446759259259212E-2</c:v>
                </c:pt>
                <c:pt idx="8">
                  <c:v>2.792824074074074E-2</c:v>
                </c:pt>
                <c:pt idx="9">
                  <c:v>3.3449074074074048E-2</c:v>
                </c:pt>
                <c:pt idx="10">
                  <c:v>3.4965277777777692E-2</c:v>
                </c:pt>
                <c:pt idx="11">
                  <c:v>4.3900462962962905E-2</c:v>
                </c:pt>
                <c:pt idx="12">
                  <c:v>5.0740740740740753E-2</c:v>
                </c:pt>
                <c:pt idx="13">
                  <c:v>5.7789351851851856E-2</c:v>
                </c:pt>
                <c:pt idx="14">
                  <c:v>6.4965277777777719E-2</c:v>
                </c:pt>
                <c:pt idx="15">
                  <c:v>7.1678240740740695E-2</c:v>
                </c:pt>
                <c:pt idx="16">
                  <c:v>7.8611111111111076E-2</c:v>
                </c:pt>
              </c:numCache>
            </c:numRef>
          </c:xVal>
          <c:yVal>
            <c:numRef>
              <c:f>Sheet1!$K$2:$K$18</c:f>
              <c:numCache>
                <c:formatCode>General</c:formatCode>
                <c:ptCount val="17"/>
                <c:pt idx="0">
                  <c:v>0</c:v>
                </c:pt>
                <c:pt idx="1">
                  <c:v>2.8154689497956048E-2</c:v>
                </c:pt>
                <c:pt idx="2">
                  <c:v>3.1673768373742119E-2</c:v>
                </c:pt>
                <c:pt idx="3">
                  <c:v>4.0523232776682738E-2</c:v>
                </c:pt>
                <c:pt idx="4">
                  <c:v>4.1887974257618366E-2</c:v>
                </c:pt>
                <c:pt idx="5">
                  <c:v>4.6442790787753395E-2</c:v>
                </c:pt>
                <c:pt idx="6">
                  <c:v>4.717458477365042E-2</c:v>
                </c:pt>
                <c:pt idx="7">
                  <c:v>5.0433253421824469E-2</c:v>
                </c:pt>
                <c:pt idx="8">
                  <c:v>5.1161150938795738E-2</c:v>
                </c:pt>
                <c:pt idx="9">
                  <c:v>5.3363926000473731E-2</c:v>
                </c:pt>
                <c:pt idx="10">
                  <c:v>5.3469193648090177E-2</c:v>
                </c:pt>
                <c:pt idx="11">
                  <c:v>5.5602735929470549E-2</c:v>
                </c:pt>
                <c:pt idx="12">
                  <c:v>5.7142042976488013E-2</c:v>
                </c:pt>
                <c:pt idx="13">
                  <c:v>5.8375403294564136E-2</c:v>
                </c:pt>
                <c:pt idx="14">
                  <c:v>5.9083681289047119E-2</c:v>
                </c:pt>
                <c:pt idx="15">
                  <c:v>5.9989994417658669E-2</c:v>
                </c:pt>
                <c:pt idx="16">
                  <c:v>6.0147015842604942E-2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FB0-4849-A606-41563B154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823984"/>
        <c:axId val="597826480"/>
      </c:scatterChart>
      <c:valAx>
        <c:axId val="59782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97826480"/>
        <c:crosses val="autoZero"/>
        <c:crossBetween val="midCat"/>
      </c:valAx>
      <c:valAx>
        <c:axId val="59782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97823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652462</xdr:colOff>
      <xdr:row>20</xdr:row>
      <xdr:rowOff>138112</xdr:rowOff>
    </xdr:from>
    <xdr:to>
      <xdr:col>10</xdr:col>
      <xdr:colOff>23812</xdr:colOff>
      <xdr:row>35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1AEADA-C201-415F-9C80-C7A6CCE470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6E12B-6FF4-495E-9FEC-44C8E6BB8878}">
  <dimension ref="A1:O18"/>
  <sheetViews>
    <sheetView tabSelected="1" topLeftCell="A8" zoomScale="125" zoomScaleNormal="100" workbookViewId="0">
      <selection activeCell="L13" sqref="L13"/>
    </sheetView>
  </sheetViews>
  <sheetFormatPr baseColWidth="10" defaultColWidth="8.83203125" defaultRowHeight="15" x14ac:dyDescent="0.2"/>
  <cols>
    <col min="3" max="3" width="12.1640625" customWidth="1"/>
    <col min="4" max="4" width="10.1640625" customWidth="1"/>
    <col min="5" max="5" width="10" customWidth="1"/>
    <col min="6" max="8" width="9.1640625"/>
    <col min="13" max="13" width="19.5" customWidth="1"/>
    <col min="14" max="14" width="10.5" customWidth="1"/>
  </cols>
  <sheetData>
    <row r="1" spans="1:15" x14ac:dyDescent="0.2">
      <c r="A1" s="1" t="s">
        <v>0</v>
      </c>
      <c r="B1" s="1"/>
      <c r="C1" s="2" t="s">
        <v>2</v>
      </c>
      <c r="D1" s="2" t="s">
        <v>1</v>
      </c>
      <c r="E1" s="2" t="s">
        <v>3</v>
      </c>
      <c r="F1" s="3" t="s">
        <v>4</v>
      </c>
      <c r="G1" s="3" t="s">
        <v>5</v>
      </c>
      <c r="H1" s="3" t="s">
        <v>6</v>
      </c>
      <c r="I1" s="4" t="s">
        <v>10</v>
      </c>
      <c r="J1" s="4" t="s">
        <v>11</v>
      </c>
      <c r="K1" s="4" t="s">
        <v>12</v>
      </c>
      <c r="M1" s="13" t="s">
        <v>8</v>
      </c>
      <c r="N1" s="13" t="s">
        <v>9</v>
      </c>
      <c r="O1" s="13" t="s">
        <v>7</v>
      </c>
    </row>
    <row r="2" spans="1:15" x14ac:dyDescent="0.2">
      <c r="A2" s="5">
        <v>0.77083333333333337</v>
      </c>
      <c r="B2" s="5">
        <f>A2-$A$2</f>
        <v>0</v>
      </c>
      <c r="C2" s="6">
        <v>1.3480000000000001</v>
      </c>
      <c r="D2" s="6">
        <v>1.8049999999999999</v>
      </c>
      <c r="E2" s="6">
        <v>0</v>
      </c>
      <c r="F2" s="11">
        <f>0.1307*C2</f>
        <v>0.17618360000000002</v>
      </c>
      <c r="G2" s="11">
        <f>0.1307*D2</f>
        <v>0.2359135</v>
      </c>
      <c r="H2" s="11">
        <f>E2*0.1307*2</f>
        <v>0</v>
      </c>
      <c r="I2" s="7">
        <f>F2/2.6</f>
        <v>6.7762923076923082E-2</v>
      </c>
      <c r="J2" s="7">
        <f>G2/2.6</f>
        <v>9.0735961538461529E-2</v>
      </c>
      <c r="K2" s="7">
        <f>H2/2.6</f>
        <v>0</v>
      </c>
      <c r="M2">
        <f>G2/F2</f>
        <v>1.3390207715133529</v>
      </c>
      <c r="N2" s="12">
        <f>(1-F2/$F$2)*100</f>
        <v>0</v>
      </c>
      <c r="O2" s="12">
        <f>(H2/$F$2)*100</f>
        <v>0</v>
      </c>
    </row>
    <row r="3" spans="1:15" x14ac:dyDescent="0.2">
      <c r="A3" s="8">
        <v>0.77651620370370367</v>
      </c>
      <c r="B3" s="9">
        <f t="shared" ref="B3:B18" si="0">A3-$A$2</f>
        <v>5.6828703703702965E-3</v>
      </c>
      <c r="C3" s="10">
        <v>0.77144976265049103</v>
      </c>
      <c r="D3" s="10">
        <v>1.18564567717765</v>
      </c>
      <c r="E3" s="10">
        <v>0.28003899271111599</v>
      </c>
      <c r="F3" s="11">
        <f t="shared" ref="F3:F18" si="1">0.1307*C3</f>
        <v>0.10082848397841919</v>
      </c>
      <c r="G3" s="11">
        <f t="shared" ref="G3:G18" si="2">0.1307*D3</f>
        <v>0.15496389000711888</v>
      </c>
      <c r="H3" s="11">
        <f t="shared" ref="H3:H18" si="3">E3*0.1307*2</f>
        <v>7.3202192694685725E-2</v>
      </c>
      <c r="I3" s="7">
        <f t="shared" ref="I3:I18" si="4">F3/2.6</f>
        <v>3.878018614554584E-2</v>
      </c>
      <c r="J3" s="7">
        <f t="shared" ref="J3:J18" si="5">G3/2.6</f>
        <v>5.960149615658418E-2</v>
      </c>
      <c r="K3" s="7">
        <f t="shared" ref="K3:K18" si="6">H3/2.6</f>
        <v>2.8154689497956048E-2</v>
      </c>
      <c r="M3">
        <f t="shared" ref="M3:M18" si="7">G3/F3</f>
        <v>1.5369058810830336</v>
      </c>
      <c r="N3" s="12">
        <f t="shared" ref="N3:N18" si="8">(1-F3/$F$2)*100</f>
        <v>42.770789120883457</v>
      </c>
      <c r="O3" s="12">
        <f t="shared" ref="O3:O18" si="9">(H3/$F$2)*100</f>
        <v>41.548811974943021</v>
      </c>
    </row>
    <row r="4" spans="1:15" x14ac:dyDescent="0.2">
      <c r="A4" s="8">
        <v>0.77798611111111116</v>
      </c>
      <c r="B4" s="9">
        <f t="shared" si="0"/>
        <v>7.1527777777777857E-3</v>
      </c>
      <c r="C4" s="10">
        <v>0.69655715444687405</v>
      </c>
      <c r="D4" s="10">
        <v>1.1061069465111399</v>
      </c>
      <c r="E4" s="10">
        <v>0.31504130746644798</v>
      </c>
      <c r="F4" s="11">
        <f t="shared" si="1"/>
        <v>9.1040020086206444E-2</v>
      </c>
      <c r="G4" s="11">
        <f t="shared" si="2"/>
        <v>0.144568177909006</v>
      </c>
      <c r="H4" s="11">
        <f t="shared" si="3"/>
        <v>8.2351797771729504E-2</v>
      </c>
      <c r="I4" s="7">
        <f t="shared" si="4"/>
        <v>3.5015392340848633E-2</v>
      </c>
      <c r="J4" s="7">
        <f t="shared" si="5"/>
        <v>5.5603145349617689E-2</v>
      </c>
      <c r="K4" s="7">
        <f t="shared" si="6"/>
        <v>3.1673768373742119E-2</v>
      </c>
      <c r="M4">
        <f t="shared" si="7"/>
        <v>1.587962939508508</v>
      </c>
      <c r="N4" s="12">
        <f t="shared" si="8"/>
        <v>48.326620589994505</v>
      </c>
      <c r="O4" s="12">
        <f t="shared" si="9"/>
        <v>46.742033748731146</v>
      </c>
    </row>
    <row r="5" spans="1:15" x14ac:dyDescent="0.2">
      <c r="A5" s="8">
        <v>0.783599537037037</v>
      </c>
      <c r="B5" s="9">
        <f t="shared" si="0"/>
        <v>1.2766203703703627E-2</v>
      </c>
      <c r="C5" s="10">
        <v>0.52346832109333996</v>
      </c>
      <c r="D5" s="10">
        <v>0.91994188794346399</v>
      </c>
      <c r="E5" s="10">
        <v>0.403061993953233</v>
      </c>
      <c r="F5" s="11">
        <f t="shared" si="1"/>
        <v>6.8417309566899537E-2</v>
      </c>
      <c r="G5" s="11">
        <f t="shared" si="2"/>
        <v>0.12023640475421075</v>
      </c>
      <c r="H5" s="11">
        <f t="shared" si="3"/>
        <v>0.10536040521937512</v>
      </c>
      <c r="I5" s="7">
        <f t="shared" si="4"/>
        <v>2.6314349833422897E-2</v>
      </c>
      <c r="J5" s="7">
        <f t="shared" si="5"/>
        <v>4.624477105931183E-2</v>
      </c>
      <c r="K5" s="7">
        <f t="shared" si="6"/>
        <v>4.0523232776682738E-2</v>
      </c>
      <c r="M5">
        <f t="shared" si="7"/>
        <v>1.7573974410180757</v>
      </c>
      <c r="N5" s="12">
        <f t="shared" si="8"/>
        <v>61.167038494559357</v>
      </c>
      <c r="O5" s="12">
        <f t="shared" si="9"/>
        <v>59.801482782378777</v>
      </c>
    </row>
    <row r="6" spans="1:15" x14ac:dyDescent="0.2">
      <c r="A6" s="8">
        <v>0.78506944444444449</v>
      </c>
      <c r="B6" s="9">
        <f t="shared" si="0"/>
        <v>1.4236111111111116E-2</v>
      </c>
      <c r="C6" s="10">
        <v>0.48762404596280001</v>
      </c>
      <c r="D6" s="10">
        <v>0.88695923363810203</v>
      </c>
      <c r="E6" s="10">
        <v>0.41663631625787201</v>
      </c>
      <c r="F6" s="11">
        <f t="shared" si="1"/>
        <v>6.3732462807337964E-2</v>
      </c>
      <c r="G6" s="11">
        <f t="shared" si="2"/>
        <v>0.11592557183649994</v>
      </c>
      <c r="H6" s="11">
        <f t="shared" si="3"/>
        <v>0.10890873306980775</v>
      </c>
      <c r="I6" s="7">
        <f t="shared" si="4"/>
        <v>2.4512485695129985E-2</v>
      </c>
      <c r="J6" s="7">
        <f t="shared" si="5"/>
        <v>4.4586758398653822E-2</v>
      </c>
      <c r="K6" s="7">
        <f t="shared" si="6"/>
        <v>4.1887974257618366E-2</v>
      </c>
      <c r="M6">
        <f t="shared" si="7"/>
        <v>1.8189407207899806</v>
      </c>
      <c r="N6" s="12">
        <f t="shared" si="8"/>
        <v>63.826109349940666</v>
      </c>
      <c r="O6" s="12">
        <f t="shared" si="9"/>
        <v>61.815477189595249</v>
      </c>
    </row>
    <row r="7" spans="1:15" x14ac:dyDescent="0.2">
      <c r="A7" s="8">
        <v>0.79041666666666666</v>
      </c>
      <c r="B7" s="9">
        <f t="shared" si="0"/>
        <v>1.9583333333333286E-2</v>
      </c>
      <c r="C7" s="10">
        <v>0.39959898570381602</v>
      </c>
      <c r="D7" s="10">
        <v>0.79147512388896302</v>
      </c>
      <c r="E7" s="10">
        <v>0.46194053576189298</v>
      </c>
      <c r="F7" s="11">
        <f t="shared" si="1"/>
        <v>5.222758743148876E-2</v>
      </c>
      <c r="G7" s="11">
        <f t="shared" si="2"/>
        <v>0.10344579869228747</v>
      </c>
      <c r="H7" s="11">
        <f t="shared" si="3"/>
        <v>0.12075125604815884</v>
      </c>
      <c r="I7" s="7">
        <f t="shared" si="4"/>
        <v>2.0087533627495675E-2</v>
      </c>
      <c r="J7" s="7">
        <f t="shared" si="5"/>
        <v>3.9786845650879796E-2</v>
      </c>
      <c r="K7" s="7">
        <f t="shared" si="6"/>
        <v>4.6442790787753395E-2</v>
      </c>
      <c r="M7">
        <f t="shared" si="7"/>
        <v>1.9806735057020557</v>
      </c>
      <c r="N7" s="12">
        <f t="shared" si="8"/>
        <v>70.356158330577443</v>
      </c>
      <c r="O7" s="12">
        <f t="shared" si="9"/>
        <v>68.537171478025655</v>
      </c>
    </row>
    <row r="8" spans="1:15" x14ac:dyDescent="0.2">
      <c r="A8" s="8">
        <v>0.79189814814814818</v>
      </c>
      <c r="B8" s="9">
        <f t="shared" si="0"/>
        <v>2.1064814814814814E-2</v>
      </c>
      <c r="C8" s="10">
        <v>0.37699020751426499</v>
      </c>
      <c r="D8" s="10">
        <v>0.76979743907656195</v>
      </c>
      <c r="E8" s="10">
        <v>0.46921928236989702</v>
      </c>
      <c r="F8" s="11">
        <f t="shared" si="1"/>
        <v>4.927262012211444E-2</v>
      </c>
      <c r="G8" s="11">
        <f t="shared" si="2"/>
        <v>0.10061252528730666</v>
      </c>
      <c r="H8" s="11">
        <f t="shared" si="3"/>
        <v>0.12265392041149109</v>
      </c>
      <c r="I8" s="7">
        <f t="shared" si="4"/>
        <v>1.8951007739274783E-2</v>
      </c>
      <c r="J8" s="7">
        <f t="shared" si="5"/>
        <v>3.8697125110502557E-2</v>
      </c>
      <c r="K8" s="7">
        <f t="shared" si="6"/>
        <v>4.717458477365042E-2</v>
      </c>
      <c r="M8">
        <f t="shared" si="7"/>
        <v>2.0419560607484306</v>
      </c>
      <c r="N8" s="12">
        <f t="shared" si="8"/>
        <v>72.033367395084198</v>
      </c>
      <c r="O8" s="12">
        <f t="shared" si="9"/>
        <v>69.617104209183537</v>
      </c>
    </row>
    <row r="9" spans="1:15" x14ac:dyDescent="0.2">
      <c r="A9" s="8">
        <v>0.79728009259259258</v>
      </c>
      <c r="B9" s="9">
        <f t="shared" si="0"/>
        <v>2.6446759259259212E-2</v>
      </c>
      <c r="C9" s="10">
        <v>0.320605906998504</v>
      </c>
      <c r="D9" s="10">
        <v>0.70632764060729802</v>
      </c>
      <c r="E9" s="10">
        <v>0.50163144183911101</v>
      </c>
      <c r="F9" s="11">
        <f t="shared" si="1"/>
        <v>4.1903192044704475E-2</v>
      </c>
      <c r="G9" s="11">
        <f t="shared" si="2"/>
        <v>9.231702262737386E-2</v>
      </c>
      <c r="H9" s="11">
        <f t="shared" si="3"/>
        <v>0.13112645889674363</v>
      </c>
      <c r="I9" s="7">
        <f t="shared" si="4"/>
        <v>1.6116612324886335E-2</v>
      </c>
      <c r="J9" s="7">
        <f t="shared" si="5"/>
        <v>3.5506547164374562E-2</v>
      </c>
      <c r="K9" s="7">
        <f t="shared" si="6"/>
        <v>5.0433253421824469E-2</v>
      </c>
      <c r="M9">
        <f t="shared" si="7"/>
        <v>2.203102392029832</v>
      </c>
      <c r="N9" s="12">
        <f t="shared" si="8"/>
        <v>76.216179006045692</v>
      </c>
      <c r="O9" s="12">
        <f t="shared" si="9"/>
        <v>74.426029946455628</v>
      </c>
    </row>
    <row r="10" spans="1:15" x14ac:dyDescent="0.2">
      <c r="A10" s="8">
        <v>0.79876157407407411</v>
      </c>
      <c r="B10" s="9">
        <f t="shared" si="0"/>
        <v>2.792824074074074E-2</v>
      </c>
      <c r="C10" s="10">
        <v>0.30642015932509897</v>
      </c>
      <c r="D10" s="10">
        <v>0.69199275434614005</v>
      </c>
      <c r="E10" s="10">
        <v>0.50887143244402799</v>
      </c>
      <c r="F10" s="11">
        <f t="shared" si="1"/>
        <v>4.0049114823790442E-2</v>
      </c>
      <c r="G10" s="11">
        <f t="shared" si="2"/>
        <v>9.0443452993040518E-2</v>
      </c>
      <c r="H10" s="11">
        <f t="shared" si="3"/>
        <v>0.13301899244086893</v>
      </c>
      <c r="I10" s="7">
        <f t="shared" si="4"/>
        <v>1.5403505701457862E-2</v>
      </c>
      <c r="J10" s="7">
        <f t="shared" si="5"/>
        <v>3.478594345886174E-2</v>
      </c>
      <c r="K10" s="7">
        <f t="shared" si="6"/>
        <v>5.1161150938795738E-2</v>
      </c>
      <c r="M10">
        <f t="shared" si="7"/>
        <v>2.2583134081983318</v>
      </c>
      <c r="N10" s="12">
        <f t="shared" si="8"/>
        <v>77.26853417469593</v>
      </c>
      <c r="O10" s="12">
        <f t="shared" si="9"/>
        <v>75.500212528787529</v>
      </c>
    </row>
    <row r="11" spans="1:15" x14ac:dyDescent="0.2">
      <c r="A11" s="8">
        <v>0.80428240740740742</v>
      </c>
      <c r="B11" s="9">
        <f t="shared" si="0"/>
        <v>3.3449074074074048E-2</v>
      </c>
      <c r="C11" s="10">
        <v>0.26314228484887903</v>
      </c>
      <c r="D11" s="10">
        <v>0.64557364941478301</v>
      </c>
      <c r="E11" s="10">
        <v>0.53078120734977696</v>
      </c>
      <c r="F11" s="11">
        <f t="shared" si="1"/>
        <v>3.439269662974849E-2</v>
      </c>
      <c r="G11" s="11">
        <f t="shared" si="2"/>
        <v>8.4376475978512153E-2</v>
      </c>
      <c r="H11" s="11">
        <f t="shared" si="3"/>
        <v>0.13874620760123171</v>
      </c>
      <c r="I11" s="7">
        <f t="shared" si="4"/>
        <v>1.3227960242210957E-2</v>
      </c>
      <c r="J11" s="7">
        <f t="shared" si="5"/>
        <v>3.2452490760966214E-2</v>
      </c>
      <c r="K11" s="7">
        <f t="shared" si="6"/>
        <v>5.3363926000473731E-2</v>
      </c>
      <c r="M11">
        <f t="shared" si="7"/>
        <v>2.4533253930873635</v>
      </c>
      <c r="N11" s="12">
        <f t="shared" si="8"/>
        <v>80.479058987471888</v>
      </c>
      <c r="O11" s="12">
        <f t="shared" si="9"/>
        <v>78.750920971776992</v>
      </c>
    </row>
    <row r="12" spans="1:15" x14ac:dyDescent="0.2">
      <c r="A12" s="8">
        <v>0.80579861111111106</v>
      </c>
      <c r="B12" s="9">
        <f t="shared" si="0"/>
        <v>3.4965277777777692E-2</v>
      </c>
      <c r="C12" s="10">
        <v>0.25082513939791901</v>
      </c>
      <c r="D12" s="10">
        <v>0.63716982889086304</v>
      </c>
      <c r="E12" s="10">
        <v>0.53182824592591604</v>
      </c>
      <c r="F12" s="11">
        <f t="shared" si="1"/>
        <v>3.2782845719308014E-2</v>
      </c>
      <c r="G12" s="11">
        <f t="shared" si="2"/>
        <v>8.3278096636035803E-2</v>
      </c>
      <c r="H12" s="11">
        <f t="shared" si="3"/>
        <v>0.13901990348503446</v>
      </c>
      <c r="I12" s="7">
        <f t="shared" si="4"/>
        <v>1.2608786815118466E-2</v>
      </c>
      <c r="J12" s="7">
        <f t="shared" si="5"/>
        <v>3.2030037167706076E-2</v>
      </c>
      <c r="K12" s="7">
        <f t="shared" si="6"/>
        <v>5.3469193648090177E-2</v>
      </c>
      <c r="M12">
        <f t="shared" si="7"/>
        <v>2.5402949258608065</v>
      </c>
      <c r="N12" s="12">
        <f t="shared" si="8"/>
        <v>81.392793813210758</v>
      </c>
      <c r="O12" s="12">
        <f t="shared" si="9"/>
        <v>78.906267941530558</v>
      </c>
    </row>
    <row r="13" spans="1:15" x14ac:dyDescent="0.2">
      <c r="A13" s="8">
        <v>0.81473379629629628</v>
      </c>
      <c r="B13" s="9">
        <f t="shared" si="0"/>
        <v>4.3900462962962905E-2</v>
      </c>
      <c r="C13" s="10">
        <v>0.20624480245423399</v>
      </c>
      <c r="D13" s="10">
        <v>0.59151046693922504</v>
      </c>
      <c r="E13" s="10">
        <v>0.55304940098172695</v>
      </c>
      <c r="F13" s="11">
        <f t="shared" si="1"/>
        <v>2.6956195680768385E-2</v>
      </c>
      <c r="G13" s="11">
        <f t="shared" si="2"/>
        <v>7.7310418028956718E-2</v>
      </c>
      <c r="H13" s="11">
        <f t="shared" si="3"/>
        <v>0.14456711341662343</v>
      </c>
      <c r="I13" s="7">
        <f t="shared" si="4"/>
        <v>1.0367767569526301E-2</v>
      </c>
      <c r="J13" s="7">
        <f t="shared" si="5"/>
        <v>2.9734776164983351E-2</v>
      </c>
      <c r="K13" s="7">
        <f t="shared" si="6"/>
        <v>5.5602735929470549E-2</v>
      </c>
      <c r="M13">
        <f t="shared" si="7"/>
        <v>2.8680018109570642</v>
      </c>
      <c r="N13" s="12">
        <f t="shared" si="8"/>
        <v>84.699940470754157</v>
      </c>
      <c r="O13" s="12">
        <f t="shared" si="9"/>
        <v>82.054807267318523</v>
      </c>
    </row>
    <row r="14" spans="1:15" x14ac:dyDescent="0.2">
      <c r="A14" s="8">
        <v>0.82157407407407412</v>
      </c>
      <c r="B14" s="9">
        <f t="shared" si="0"/>
        <v>5.0740740740740753E-2</v>
      </c>
      <c r="C14" s="10">
        <v>0.183320194511323</v>
      </c>
      <c r="D14" s="10">
        <v>0.56107419075816101</v>
      </c>
      <c r="E14" s="10">
        <v>0.56836002960546606</v>
      </c>
      <c r="F14" s="11">
        <f t="shared" si="1"/>
        <v>2.3959949422629918E-2</v>
      </c>
      <c r="G14" s="11">
        <f t="shared" si="2"/>
        <v>7.3332396732091645E-2</v>
      </c>
      <c r="H14" s="11">
        <f t="shared" si="3"/>
        <v>0.14856931173886884</v>
      </c>
      <c r="I14" s="7">
        <f t="shared" si="4"/>
        <v>9.2153651625499679E-3</v>
      </c>
      <c r="J14" s="7">
        <f t="shared" si="5"/>
        <v>2.8204767973881401E-2</v>
      </c>
      <c r="K14" s="7">
        <f t="shared" si="6"/>
        <v>5.7142042976488013E-2</v>
      </c>
      <c r="M14">
        <f t="shared" si="7"/>
        <v>3.0606240204676713</v>
      </c>
      <c r="N14" s="12">
        <f t="shared" si="8"/>
        <v>86.40057904218672</v>
      </c>
      <c r="O14" s="12">
        <f t="shared" si="9"/>
        <v>84.326413888051334</v>
      </c>
    </row>
    <row r="15" spans="1:15" x14ac:dyDescent="0.2">
      <c r="A15" s="8">
        <v>0.82862268518518523</v>
      </c>
      <c r="B15" s="9">
        <f t="shared" si="0"/>
        <v>5.7789351851851856E-2</v>
      </c>
      <c r="C15" s="10">
        <v>0.161841290369377</v>
      </c>
      <c r="D15" s="10">
        <v>0.53837024161232505</v>
      </c>
      <c r="E15" s="10">
        <v>0.58062757676307097</v>
      </c>
      <c r="F15" s="11">
        <f t="shared" si="1"/>
        <v>2.1152656651277576E-2</v>
      </c>
      <c r="G15" s="11">
        <f t="shared" si="2"/>
        <v>7.0364990578730885E-2</v>
      </c>
      <c r="H15" s="11">
        <f t="shared" si="3"/>
        <v>0.15177604856586677</v>
      </c>
      <c r="I15" s="7">
        <f t="shared" si="4"/>
        <v>8.135637173568298E-3</v>
      </c>
      <c r="J15" s="7">
        <f t="shared" si="5"/>
        <v>2.7063457914896494E-2</v>
      </c>
      <c r="K15" s="7">
        <f t="shared" si="6"/>
        <v>5.8375403294564136E-2</v>
      </c>
      <c r="M15">
        <f t="shared" si="7"/>
        <v>3.3265320635023397</v>
      </c>
      <c r="N15" s="12">
        <f t="shared" si="8"/>
        <v>87.993969557167873</v>
      </c>
      <c r="O15" s="12">
        <f t="shared" si="9"/>
        <v>86.146524742295398</v>
      </c>
    </row>
    <row r="16" spans="1:15" x14ac:dyDescent="0.2">
      <c r="A16" s="8">
        <v>0.83579861111111109</v>
      </c>
      <c r="B16" s="9">
        <f t="shared" si="0"/>
        <v>6.4965277777777719E-2</v>
      </c>
      <c r="C16" s="10">
        <v>0.14544571583013599</v>
      </c>
      <c r="D16" s="10">
        <v>0.51894789688980802</v>
      </c>
      <c r="E16" s="10">
        <v>0.58767242292089705</v>
      </c>
      <c r="F16" s="11">
        <f t="shared" si="1"/>
        <v>1.9009755058998774E-2</v>
      </c>
      <c r="G16" s="11">
        <f t="shared" si="2"/>
        <v>6.782649012349791E-2</v>
      </c>
      <c r="H16" s="11">
        <f t="shared" si="3"/>
        <v>0.15361757135152251</v>
      </c>
      <c r="I16" s="7">
        <f t="shared" si="4"/>
        <v>7.3114442534610666E-3</v>
      </c>
      <c r="J16" s="7">
        <f t="shared" si="5"/>
        <v>2.6087111585960734E-2</v>
      </c>
      <c r="K16" s="7">
        <f t="shared" si="6"/>
        <v>5.9083681289047119E-2</v>
      </c>
      <c r="M16">
        <f t="shared" si="7"/>
        <v>3.5679833807953476</v>
      </c>
      <c r="N16" s="12">
        <f t="shared" si="8"/>
        <v>89.210258469574484</v>
      </c>
      <c r="O16" s="12">
        <f t="shared" si="9"/>
        <v>87.191754142566339</v>
      </c>
    </row>
    <row r="17" spans="1:15" x14ac:dyDescent="0.2">
      <c r="A17" s="8">
        <v>0.84251157407407407</v>
      </c>
      <c r="B17" s="9">
        <f t="shared" si="0"/>
        <v>7.1678240740740695E-2</v>
      </c>
      <c r="C17" s="10">
        <v>0.12992000610093801</v>
      </c>
      <c r="D17" s="10">
        <v>0.50617900417754802</v>
      </c>
      <c r="E17" s="10">
        <v>0.59668701410066005</v>
      </c>
      <c r="F17" s="11">
        <f t="shared" si="1"/>
        <v>1.69805447973926E-2</v>
      </c>
      <c r="G17" s="11">
        <f t="shared" si="2"/>
        <v>6.6157595846005529E-2</v>
      </c>
      <c r="H17" s="11">
        <f t="shared" si="3"/>
        <v>0.15597398548591254</v>
      </c>
      <c r="I17" s="7">
        <f t="shared" si="4"/>
        <v>6.5309787682279229E-3</v>
      </c>
      <c r="J17" s="7">
        <f t="shared" si="5"/>
        <v>2.5445229171540587E-2</v>
      </c>
      <c r="K17" s="7">
        <f t="shared" si="6"/>
        <v>5.9989994417658669E-2</v>
      </c>
      <c r="M17">
        <f t="shared" si="7"/>
        <v>3.8960820536314107</v>
      </c>
      <c r="N17" s="12">
        <f t="shared" si="8"/>
        <v>90.362017351562457</v>
      </c>
      <c r="O17" s="12">
        <f t="shared" si="9"/>
        <v>88.529230578732935</v>
      </c>
    </row>
    <row r="18" spans="1:15" x14ac:dyDescent="0.2">
      <c r="A18" s="8">
        <v>0.84944444444444445</v>
      </c>
      <c r="B18" s="9">
        <f t="shared" si="0"/>
        <v>7.8611111111111076E-2</v>
      </c>
      <c r="C18" s="10">
        <v>0.11928026449986499</v>
      </c>
      <c r="D18" s="10">
        <v>0.49219153977235403</v>
      </c>
      <c r="E18" s="10">
        <v>0.59824881863340795</v>
      </c>
      <c r="F18" s="11">
        <f t="shared" si="1"/>
        <v>1.5589930570132356E-2</v>
      </c>
      <c r="G18" s="11">
        <f t="shared" si="2"/>
        <v>6.4329434248246678E-2</v>
      </c>
      <c r="H18" s="11">
        <f t="shared" si="3"/>
        <v>0.15638224119077285</v>
      </c>
      <c r="I18" s="7">
        <f t="shared" si="4"/>
        <v>5.9961271423585984E-3</v>
      </c>
      <c r="J18" s="7">
        <f t="shared" si="5"/>
        <v>2.474209009547949E-2</v>
      </c>
      <c r="K18" s="7">
        <f t="shared" si="6"/>
        <v>6.0147015842604942E-2</v>
      </c>
      <c r="M18">
        <f t="shared" si="7"/>
        <v>4.1263451404646334</v>
      </c>
      <c r="N18" s="12">
        <f t="shared" si="8"/>
        <v>91.151315689920992</v>
      </c>
      <c r="O18" s="12">
        <f t="shared" si="9"/>
        <v>88.760952319496724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